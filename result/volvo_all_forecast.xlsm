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d30" sheetId="1" state="visible" r:id="rId2"/>
    <sheet name="14d" sheetId="2" state="visible" r:id="rId3"/>
    <sheet name="45d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<sst xmlns="http://schemas.openxmlformats.org/spreadsheetml/2006/main" count="16" uniqueCount="7">
  <si>
    <t xml:space="preserve">Date</t>
  </si>
  <si>
    <t xml:space="preserve">LSTM</t>
  </si>
  <si>
    <t xml:space="preserve">PROPHET</t>
  </si>
  <si>
    <t xml:space="preserve">actual</t>
  </si>
  <si>
    <t xml:space="preserve">RMSE</t>
  </si>
  <si>
    <t xml:space="preserve">Prophet</t>
  </si>
  <si>
    <t xml:space="preserve">Predicted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</si>
</sst>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#,##0.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Courier New"/>
      <family val="3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67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B67" activeCellId="0" sqref="B67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9.43"/>
    <col collapsed="false" customWidth="true" hidden="false" outlineLevel="0" max="2" min="2" style="0" width="9.9"/>
    <col collapsed="false" customWidth="true" hidden="false" outlineLevel="0" max="3" min="3" style="0" width="16.7"/>
    <col collapsed="false" customWidth="true" hidden="false" outlineLevel="0" max="4" min="4" style="0" width="6.4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1" t="n">
        <v>45587</v>
      </c>
      <c r="B2" s="0" t="n">
        <v>271.88855</v>
      </c>
      <c r="C2" s="0" t="n">
        <v>289.823012358436</v>
      </c>
      <c r="D2" s="0" t="n">
        <v>248.7</v>
      </c>
    </row>
    <row r="3" customFormat="false" ht="12.8" hidden="false" customHeight="false" outlineLevel="0" collapsed="false">
      <c r="A3" s="1" t="n">
        <v>45588</v>
      </c>
      <c r="B3" s="0" t="n">
        <v>271.66364</v>
      </c>
      <c r="C3" s="0" t="n">
        <v>289.981476948016</v>
      </c>
      <c r="D3" s="0" t="n">
        <v>249.9</v>
      </c>
    </row>
    <row r="4" customFormat="false" ht="12.8" hidden="false" customHeight="false" outlineLevel="0" collapsed="false">
      <c r="A4" s="1" t="n">
        <v>45589</v>
      </c>
      <c r="B4" s="0" t="n">
        <v>269.81808</v>
      </c>
      <c r="C4" s="0" t="n">
        <v>290.139941537597</v>
      </c>
      <c r="D4" s="0" t="n">
        <v>252</v>
      </c>
    </row>
    <row r="5" customFormat="false" ht="12.8" hidden="false" customHeight="false" outlineLevel="0" collapsed="false">
      <c r="A5" s="1" t="n">
        <v>45590</v>
      </c>
      <c r="B5" s="0" t="n">
        <v>268.56512</v>
      </c>
      <c r="C5" s="0" t="n">
        <v>290.298406127178</v>
      </c>
      <c r="D5" s="0" t="n">
        <v>254.8</v>
      </c>
    </row>
    <row r="6" customFormat="false" ht="12.8" hidden="false" customHeight="false" outlineLevel="0" collapsed="false">
      <c r="A6" s="1" t="n">
        <v>45591</v>
      </c>
      <c r="B6" s="0" t="n">
        <v>269.42804</v>
      </c>
      <c r="C6" s="0" t="n">
        <v>290.456870716758</v>
      </c>
      <c r="D6" s="0" t="n">
        <v>254.3</v>
      </c>
    </row>
    <row r="7" customFormat="false" ht="12.8" hidden="false" customHeight="false" outlineLevel="0" collapsed="false">
      <c r="A7" s="1" t="n">
        <v>45592</v>
      </c>
      <c r="B7" s="0" t="n">
        <v>270.05716</v>
      </c>
      <c r="C7" s="0" t="n">
        <v>290.615335306339</v>
      </c>
      <c r="D7" s="0" t="n">
        <v>260.6</v>
      </c>
    </row>
    <row r="8" customFormat="false" ht="12.8" hidden="false" customHeight="false" outlineLevel="0" collapsed="false">
      <c r="A8" s="1" t="n">
        <v>45593</v>
      </c>
      <c r="B8" s="0" t="n">
        <v>269.2446</v>
      </c>
      <c r="C8" s="0" t="n">
        <v>290.77379989592</v>
      </c>
      <c r="D8" s="0" t="n">
        <v>261.6</v>
      </c>
    </row>
    <row r="9" customFormat="false" ht="12.8" hidden="false" customHeight="false" outlineLevel="0" collapsed="false">
      <c r="A9" s="1" t="n">
        <v>45594</v>
      </c>
      <c r="B9" s="0" t="n">
        <v>269.35876</v>
      </c>
      <c r="C9" s="0" t="n">
        <v>290.9322644855</v>
      </c>
      <c r="D9" s="0" t="n">
        <v>264.8</v>
      </c>
    </row>
    <row r="10" customFormat="false" ht="12.8" hidden="false" customHeight="false" outlineLevel="0" collapsed="false">
      <c r="A10" s="1" t="n">
        <v>45595</v>
      </c>
      <c r="B10" s="0" t="n">
        <v>268.87778</v>
      </c>
      <c r="C10" s="0" t="n">
        <v>291.090729075081</v>
      </c>
      <c r="D10" s="0" t="n">
        <v>261.5</v>
      </c>
    </row>
    <row r="11" customFormat="false" ht="12.8" hidden="false" customHeight="false" outlineLevel="0" collapsed="false">
      <c r="A11" s="1" t="n">
        <v>45596</v>
      </c>
      <c r="B11" s="0" t="n">
        <v>267.34317</v>
      </c>
      <c r="C11" s="0" t="n">
        <v>291.249193664662</v>
      </c>
      <c r="D11" s="0" t="n">
        <v>262.3</v>
      </c>
    </row>
    <row r="12" customFormat="false" ht="12.8" hidden="false" customHeight="false" outlineLevel="0" collapsed="false">
      <c r="A12" s="1" t="n">
        <v>45597</v>
      </c>
      <c r="B12" s="0" t="n">
        <v>267.33212</v>
      </c>
      <c r="C12" s="0" t="n">
        <v>291.407658254243</v>
      </c>
      <c r="D12" s="0" t="n">
        <v>266</v>
      </c>
    </row>
    <row r="13" customFormat="false" ht="12.8" hidden="false" customHeight="false" outlineLevel="0" collapsed="false">
      <c r="A13" s="1" t="n">
        <v>45598</v>
      </c>
      <c r="B13" s="0" t="n">
        <v>268.89224</v>
      </c>
      <c r="C13" s="0" t="n">
        <v>291.566122843823</v>
      </c>
      <c r="D13" s="0" t="n">
        <v>266.7</v>
      </c>
    </row>
    <row r="14" customFormat="false" ht="12.8" hidden="false" customHeight="false" outlineLevel="0" collapsed="false">
      <c r="A14" s="1" t="n">
        <v>45599</v>
      </c>
      <c r="B14" s="0" t="n">
        <v>271.3738</v>
      </c>
      <c r="C14" s="0" t="n">
        <v>291.724587433404</v>
      </c>
      <c r="D14" s="0" t="n">
        <v>272.9</v>
      </c>
    </row>
    <row r="15" customFormat="false" ht="12.8" hidden="false" customHeight="false" outlineLevel="0" collapsed="false">
      <c r="A15" s="1" t="n">
        <v>45600</v>
      </c>
      <c r="B15" s="0" t="n">
        <v>269.78915</v>
      </c>
      <c r="C15" s="0" t="n">
        <v>291.883052022985</v>
      </c>
      <c r="D15" s="0" t="n">
        <v>272.5</v>
      </c>
    </row>
    <row r="16" customFormat="false" ht="12.8" hidden="false" customHeight="false" outlineLevel="0" collapsed="false">
      <c r="A16" s="1" t="n">
        <v>45601</v>
      </c>
      <c r="B16" s="0" t="n">
        <v>269.5614</v>
      </c>
      <c r="C16" s="0" t="n">
        <v>292.041516612565</v>
      </c>
      <c r="D16" s="0" t="n">
        <v>268.2</v>
      </c>
    </row>
    <row r="17" customFormat="false" ht="12.8" hidden="false" customHeight="false" outlineLevel="0" collapsed="false">
      <c r="A17" s="1" t="n">
        <v>45602</v>
      </c>
      <c r="B17" s="0" t="n">
        <v>267.20078</v>
      </c>
      <c r="C17" s="0" t="n">
        <v>292.199981202146</v>
      </c>
      <c r="D17" s="0" t="n">
        <v>265.9</v>
      </c>
    </row>
    <row r="18" customFormat="false" ht="12.8" hidden="false" customHeight="false" outlineLevel="0" collapsed="false">
      <c r="A18" s="1" t="n">
        <v>45603</v>
      </c>
      <c r="B18" s="0" t="n">
        <v>271.61343</v>
      </c>
      <c r="C18" s="0" t="n">
        <v>292.358445791727</v>
      </c>
      <c r="D18" s="0" t="n">
        <v>265.1</v>
      </c>
    </row>
    <row r="19" customFormat="false" ht="12.8" hidden="false" customHeight="false" outlineLevel="0" collapsed="false">
      <c r="A19" s="1" t="n">
        <v>45604</v>
      </c>
      <c r="B19" s="0" t="n">
        <v>268.9911</v>
      </c>
      <c r="C19" s="0" t="n">
        <v>292.516910381307</v>
      </c>
      <c r="D19" s="0" t="n">
        <v>266.3</v>
      </c>
    </row>
    <row r="20" customFormat="false" ht="12.8" hidden="false" customHeight="false" outlineLevel="0" collapsed="false">
      <c r="A20" s="1" t="n">
        <v>45605</v>
      </c>
      <c r="B20" s="0" t="n">
        <v>272.21686</v>
      </c>
      <c r="C20" s="0" t="n">
        <v>292.675374970888</v>
      </c>
      <c r="D20" s="0" t="n">
        <v>273.8</v>
      </c>
    </row>
    <row r="21" customFormat="false" ht="12.8" hidden="false" customHeight="false" outlineLevel="0" collapsed="false">
      <c r="A21" s="1" t="n">
        <v>45606</v>
      </c>
      <c r="B21" s="0" t="n">
        <v>266.65344</v>
      </c>
      <c r="C21" s="0" t="n">
        <v>292.833839560469</v>
      </c>
      <c r="D21" s="0" t="n">
        <v>273</v>
      </c>
    </row>
    <row r="22" customFormat="false" ht="12.8" hidden="false" customHeight="false" outlineLevel="0" collapsed="false">
      <c r="A22" s="1" t="n">
        <v>45607</v>
      </c>
      <c r="B22" s="0" t="n">
        <v>268.7035</v>
      </c>
      <c r="C22" s="0" t="n">
        <v>292.99230415005</v>
      </c>
      <c r="D22" s="0" t="n">
        <v>270.7</v>
      </c>
    </row>
    <row r="23" customFormat="false" ht="12.8" hidden="false" customHeight="false" outlineLevel="0" collapsed="false">
      <c r="A23" s="1" t="n">
        <v>45608</v>
      </c>
      <c r="B23" s="0" t="n">
        <v>273.36224</v>
      </c>
      <c r="C23" s="0" t="n">
        <v>293.15076873963</v>
      </c>
      <c r="D23" s="0" t="n">
        <v>271</v>
      </c>
    </row>
    <row r="24" customFormat="false" ht="12.8" hidden="false" customHeight="false" outlineLevel="0" collapsed="false">
      <c r="A24" s="1" t="n">
        <v>45609</v>
      </c>
      <c r="B24" s="0" t="n">
        <v>272.21133</v>
      </c>
      <c r="C24" s="0" t="n">
        <v>293.309233329211</v>
      </c>
      <c r="D24" s="0" t="n">
        <v>268.9</v>
      </c>
    </row>
    <row r="25" customFormat="false" ht="12.8" hidden="false" customHeight="false" outlineLevel="0" collapsed="false">
      <c r="A25" s="1" t="n">
        <v>45610</v>
      </c>
      <c r="B25" s="0" t="n">
        <v>269.19913</v>
      </c>
      <c r="C25" s="0" t="n">
        <v>293.467697918792</v>
      </c>
      <c r="D25" s="0" t="n">
        <v>267.7</v>
      </c>
    </row>
    <row r="26" customFormat="false" ht="12.8" hidden="false" customHeight="false" outlineLevel="0" collapsed="false">
      <c r="A26" s="1" t="n">
        <v>45611</v>
      </c>
      <c r="B26" s="0" t="n">
        <v>270.17514</v>
      </c>
      <c r="C26" s="0" t="n">
        <v>293.626162508372</v>
      </c>
      <c r="D26" s="0" t="n">
        <v>269.4</v>
      </c>
    </row>
    <row r="27" customFormat="false" ht="12.8" hidden="false" customHeight="false" outlineLevel="0" collapsed="false">
      <c r="A27" s="1" t="n">
        <v>45612</v>
      </c>
      <c r="B27" s="0" t="n">
        <v>272.46335</v>
      </c>
      <c r="C27" s="0" t="n">
        <v>293.784627097953</v>
      </c>
      <c r="D27" s="0" t="n">
        <v>267.1</v>
      </c>
    </row>
    <row r="28" customFormat="false" ht="12.8" hidden="false" customHeight="false" outlineLevel="0" collapsed="false">
      <c r="A28" s="1" t="n">
        <v>45613</v>
      </c>
      <c r="B28" s="0" t="n">
        <v>271.4258</v>
      </c>
      <c r="C28" s="0" t="n">
        <v>293.943091687534</v>
      </c>
      <c r="D28" s="0" t="n">
        <v>267.5</v>
      </c>
    </row>
    <row r="29" customFormat="false" ht="12.8" hidden="false" customHeight="false" outlineLevel="0" collapsed="false">
      <c r="A29" s="1" t="n">
        <v>45614</v>
      </c>
      <c r="B29" s="0" t="n">
        <v>271.65915</v>
      </c>
      <c r="C29" s="0" t="n">
        <v>294.101556277115</v>
      </c>
      <c r="D29" s="0" t="n">
        <v>265</v>
      </c>
    </row>
    <row r="30" customFormat="false" ht="12.8" hidden="false" customHeight="false" outlineLevel="0" collapsed="false">
      <c r="A30" s="1" t="n">
        <v>45615</v>
      </c>
      <c r="B30" s="0" t="n">
        <v>268.9365</v>
      </c>
      <c r="C30" s="0" t="n">
        <v>294.260020866695</v>
      </c>
      <c r="D30" s="0" t="n">
        <v>274.3</v>
      </c>
    </row>
    <row r="31" customFormat="false" ht="12.8" hidden="false" customHeight="false" outlineLevel="0" collapsed="false">
      <c r="A31" s="1" t="n">
        <v>45616</v>
      </c>
      <c r="B31" s="0" t="n">
        <v>272.4316</v>
      </c>
      <c r="C31" s="0" t="n">
        <v>294.418485456276</v>
      </c>
      <c r="D31" s="0" t="n">
        <v>272.1</v>
      </c>
    </row>
    <row r="32" customFormat="false" ht="12.8" hidden="false" customHeight="false" outlineLevel="0" collapsed="false">
      <c r="A32" s="0" t="s">
        <v>4</v>
      </c>
      <c r="B32" s="0" t="n">
        <v>8.65</v>
      </c>
      <c r="C32" s="0" t="n">
        <v>27.62</v>
      </c>
    </row>
    <row r="35" customFormat="false" ht="12.8" hidden="false" customHeight="false" outlineLevel="0" collapsed="false">
      <c r="B35" s="0" t="n">
        <f aca="false">B2-D2</f>
        <v>23.18855</v>
      </c>
      <c r="C35" s="0" t="n">
        <f aca="false">C2-D2</f>
        <v>41.123012358436</v>
      </c>
    </row>
    <row r="36" customFormat="false" ht="12.8" hidden="false" customHeight="false" outlineLevel="0" collapsed="false">
      <c r="B36" s="0" t="n">
        <f aca="false">B3-D3</f>
        <v>21.76364</v>
      </c>
      <c r="C36" s="0" t="n">
        <f aca="false">C3-D3</f>
        <v>40.081476948016</v>
      </c>
    </row>
    <row r="37" customFormat="false" ht="12.8" hidden="false" customHeight="false" outlineLevel="0" collapsed="false">
      <c r="B37" s="0" t="n">
        <f aca="false">B4-D4</f>
        <v>17.81808</v>
      </c>
      <c r="C37" s="0" t="n">
        <f aca="false">C4-D4</f>
        <v>38.139941537597</v>
      </c>
    </row>
    <row r="38" customFormat="false" ht="12.8" hidden="false" customHeight="false" outlineLevel="0" collapsed="false">
      <c r="B38" s="0" t="n">
        <f aca="false">B5-D5</f>
        <v>13.76512</v>
      </c>
      <c r="C38" s="0" t="n">
        <f aca="false">C5-D5</f>
        <v>35.498406127178</v>
      </c>
    </row>
    <row r="39" customFormat="false" ht="12.8" hidden="false" customHeight="false" outlineLevel="0" collapsed="false">
      <c r="B39" s="0" t="n">
        <f aca="false">B6-D6</f>
        <v>15.12804</v>
      </c>
      <c r="C39" s="0" t="n">
        <f aca="false">C6-D6</f>
        <v>36.156870716758</v>
      </c>
    </row>
    <row r="40" customFormat="false" ht="12.8" hidden="false" customHeight="false" outlineLevel="0" collapsed="false">
      <c r="B40" s="0" t="n">
        <f aca="false">B7-D7</f>
        <v>9.45715999999999</v>
      </c>
      <c r="C40" s="0" t="n">
        <f aca="false">C7-D7</f>
        <v>30.015335306339</v>
      </c>
    </row>
    <row r="41" customFormat="false" ht="12.8" hidden="false" customHeight="false" outlineLevel="0" collapsed="false">
      <c r="B41" s="0" t="n">
        <f aca="false">B8-D8</f>
        <v>7.64459999999997</v>
      </c>
      <c r="C41" s="0" t="n">
        <f aca="false">C8-D8</f>
        <v>29.17379989592</v>
      </c>
    </row>
    <row r="42" customFormat="false" ht="12.8" hidden="false" customHeight="false" outlineLevel="0" collapsed="false">
      <c r="B42" s="0" t="n">
        <f aca="false">B9-D9</f>
        <v>4.55876000000001</v>
      </c>
      <c r="C42" s="0" t="n">
        <f aca="false">C9-D9</f>
        <v>26.1322644855</v>
      </c>
    </row>
    <row r="43" customFormat="false" ht="12.8" hidden="false" customHeight="false" outlineLevel="0" collapsed="false">
      <c r="B43" s="0" t="n">
        <f aca="false">B10-D10</f>
        <v>7.37777999999997</v>
      </c>
      <c r="C43" s="0" t="n">
        <f aca="false">C10-D10</f>
        <v>29.590729075081</v>
      </c>
    </row>
    <row r="44" customFormat="false" ht="12.8" hidden="false" customHeight="false" outlineLevel="0" collapsed="false">
      <c r="B44" s="0" t="n">
        <f aca="false">B11-D11</f>
        <v>5.04316999999998</v>
      </c>
      <c r="C44" s="0" t="n">
        <f aca="false">C11-D11</f>
        <v>28.949193664662</v>
      </c>
    </row>
    <row r="45" customFormat="false" ht="12.8" hidden="false" customHeight="false" outlineLevel="0" collapsed="false">
      <c r="B45" s="0" t="n">
        <f aca="false">B12-D12</f>
        <v>1.33211999999997</v>
      </c>
      <c r="C45" s="0" t="n">
        <f aca="false">C12-D12</f>
        <v>25.407658254243</v>
      </c>
    </row>
    <row r="46" customFormat="false" ht="12.8" hidden="false" customHeight="false" outlineLevel="0" collapsed="false">
      <c r="B46" s="0" t="n">
        <f aca="false">B13-D13</f>
        <v>2.19224000000003</v>
      </c>
      <c r="C46" s="0" t="n">
        <f aca="false">C13-D13</f>
        <v>24.866122843823</v>
      </c>
    </row>
    <row r="47" customFormat="false" ht="12.8" hidden="false" customHeight="false" outlineLevel="0" collapsed="false">
      <c r="B47" s="0" t="n">
        <f aca="false">B14-D14</f>
        <v>-1.52619999999996</v>
      </c>
      <c r="C47" s="0" t="n">
        <f aca="false">C14-D14</f>
        <v>18.824587433404</v>
      </c>
    </row>
    <row r="48" customFormat="false" ht="12.8" hidden="false" customHeight="false" outlineLevel="0" collapsed="false">
      <c r="B48" s="0" t="n">
        <f aca="false">B15-D15</f>
        <v>-2.71084999999999</v>
      </c>
      <c r="C48" s="0" t="n">
        <f aca="false">C15-D15</f>
        <v>19.383052022985</v>
      </c>
    </row>
    <row r="49" customFormat="false" ht="12.8" hidden="false" customHeight="false" outlineLevel="0" collapsed="false">
      <c r="B49" s="0" t="n">
        <f aca="false">B16-D16</f>
        <v>1.3614</v>
      </c>
      <c r="C49" s="0" t="n">
        <f aca="false">C16-D16</f>
        <v>23.841516612565</v>
      </c>
    </row>
    <row r="50" customFormat="false" ht="12.8" hidden="false" customHeight="false" outlineLevel="0" collapsed="false">
      <c r="B50" s="0" t="n">
        <f aca="false">B17-D17</f>
        <v>1.30078000000003</v>
      </c>
      <c r="C50" s="0" t="n">
        <f aca="false">C17-D17</f>
        <v>26.299981202146</v>
      </c>
    </row>
    <row r="51" customFormat="false" ht="12.8" hidden="false" customHeight="false" outlineLevel="0" collapsed="false">
      <c r="B51" s="0" t="n">
        <f aca="false">B18-D18</f>
        <v>6.51342999999997</v>
      </c>
      <c r="C51" s="0" t="n">
        <f aca="false">C18-D18</f>
        <v>27.258445791727</v>
      </c>
    </row>
    <row r="52" customFormat="false" ht="12.8" hidden="false" customHeight="false" outlineLevel="0" collapsed="false">
      <c r="B52" s="0" t="n">
        <f aca="false">B19-D19</f>
        <v>2.69110000000001</v>
      </c>
      <c r="C52" s="0" t="n">
        <f aca="false">C19-D19</f>
        <v>26.216910381307</v>
      </c>
    </row>
    <row r="53" customFormat="false" ht="12.8" hidden="false" customHeight="false" outlineLevel="0" collapsed="false">
      <c r="B53" s="0" t="n">
        <f aca="false">B20-D20</f>
        <v>-1.58314000000001</v>
      </c>
      <c r="C53" s="0" t="n">
        <f aca="false">C20-D20</f>
        <v>18.875374970888</v>
      </c>
    </row>
    <row r="54" customFormat="false" ht="12.8" hidden="false" customHeight="false" outlineLevel="0" collapsed="false">
      <c r="B54" s="0" t="n">
        <f aca="false">B21-D21</f>
        <v>-6.34656000000001</v>
      </c>
      <c r="C54" s="0" t="n">
        <f aca="false">C21-D21</f>
        <v>19.833839560469</v>
      </c>
    </row>
    <row r="55" customFormat="false" ht="12.8" hidden="false" customHeight="false" outlineLevel="0" collapsed="false">
      <c r="B55" s="0" t="n">
        <f aca="false">B22-D22</f>
        <v>-1.99649999999997</v>
      </c>
      <c r="C55" s="0" t="n">
        <f aca="false">C22-D22</f>
        <v>22.29230415005</v>
      </c>
    </row>
    <row r="56" customFormat="false" ht="12.8" hidden="false" customHeight="false" outlineLevel="0" collapsed="false">
      <c r="B56" s="0" t="n">
        <f aca="false">B23-D23</f>
        <v>2.36223999999999</v>
      </c>
      <c r="C56" s="0" t="n">
        <f aca="false">C23-D23</f>
        <v>22.15076873963</v>
      </c>
    </row>
    <row r="57" customFormat="false" ht="12.8" hidden="false" customHeight="false" outlineLevel="0" collapsed="false">
      <c r="B57" s="0" t="n">
        <f aca="false">B24-D24</f>
        <v>3.31133</v>
      </c>
      <c r="C57" s="0" t="n">
        <f aca="false">C24-D24</f>
        <v>24.409233329211</v>
      </c>
    </row>
    <row r="58" customFormat="false" ht="12.8" hidden="false" customHeight="false" outlineLevel="0" collapsed="false">
      <c r="B58" s="0" t="n">
        <f aca="false">B25-D25</f>
        <v>1.49913000000004</v>
      </c>
      <c r="C58" s="0" t="n">
        <f aca="false">C25-D25</f>
        <v>25.767697918792</v>
      </c>
    </row>
    <row r="59" customFormat="false" ht="12.8" hidden="false" customHeight="false" outlineLevel="0" collapsed="false">
      <c r="B59" s="0" t="n">
        <f aca="false">B26-D26</f>
        <v>0.775140000000022</v>
      </c>
      <c r="C59" s="0" t="n">
        <f aca="false">C26-D26</f>
        <v>24.226162508372</v>
      </c>
    </row>
    <row r="60" customFormat="false" ht="12.8" hidden="false" customHeight="false" outlineLevel="0" collapsed="false">
      <c r="B60" s="0" t="n">
        <f aca="false">B27-D27</f>
        <v>5.36334999999997</v>
      </c>
      <c r="C60" s="0" t="n">
        <f aca="false">C27-D27</f>
        <v>26.684627097953</v>
      </c>
    </row>
    <row r="61" customFormat="false" ht="12.8" hidden="false" customHeight="false" outlineLevel="0" collapsed="false">
      <c r="B61" s="0" t="n">
        <f aca="false">B28-D28</f>
        <v>3.92579999999998</v>
      </c>
      <c r="C61" s="0" t="n">
        <f aca="false">C28-D28</f>
        <v>26.443091687534</v>
      </c>
    </row>
    <row r="62" customFormat="false" ht="12.8" hidden="false" customHeight="false" outlineLevel="0" collapsed="false">
      <c r="B62" s="0" t="n">
        <f aca="false">B29-D29</f>
        <v>6.65915000000001</v>
      </c>
      <c r="C62" s="0" t="n">
        <f aca="false">C29-D29</f>
        <v>29.101556277115</v>
      </c>
    </row>
    <row r="63" customFormat="false" ht="12.8" hidden="false" customHeight="false" outlineLevel="0" collapsed="false">
      <c r="B63" s="0" t="n">
        <f aca="false">B30-D30</f>
        <v>-5.36349999999999</v>
      </c>
      <c r="C63" s="0" t="n">
        <f aca="false">C30-D30</f>
        <v>19.960020866695</v>
      </c>
    </row>
    <row r="64" customFormat="false" ht="12.8" hidden="false" customHeight="false" outlineLevel="0" collapsed="false">
      <c r="B64" s="0" t="n">
        <f aca="false">B31-D31</f>
        <v>0.33159999999998</v>
      </c>
      <c r="C64" s="0" t="n">
        <f aca="false">C31-D31</f>
        <v>22.318485456276</v>
      </c>
    </row>
    <row r="65" customFormat="false" ht="12.8" hidden="false" customHeight="false" outlineLevel="0" collapsed="false">
      <c r="B65" s="0" t="n">
        <f aca="false">B32-D32</f>
        <v>8.65</v>
      </c>
      <c r="C65" s="0" t="n">
        <f aca="false">C32-D32</f>
        <v>27.62</v>
      </c>
    </row>
    <row r="67" customFormat="false" ht="14.65" hidden="false" customHeight="false" outlineLevel="0" collapsed="false">
      <c r="A67" s="0" t="s">
        <v>4</v>
      </c>
      <c r="B67" s="2" t="n">
        <f aca="false">SQRT(SUMSQ(B35:B65)/COUNTA(B35:B65))</f>
        <v>8.65758425546362</v>
      </c>
      <c r="C67" s="2" t="n">
        <f aca="false">SQRT(SUMSQ(C35:C65)/COUNTA(C35:C65))</f>
        <v>27.6231982208357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F1:I16"/>
  <sheetViews>
    <sheetView showFormulas="false" showGridLines="true" showRowColHeaders="true" showZeros="true" rightToLeft="false" tabSelected="false" showOutlineSymbols="true" defaultGridColor="true" view="normal" topLeftCell="F1" colorId="64" zoomScale="100" zoomScaleNormal="100" zoomScalePageLayoutView="100" workbookViewId="0">
      <selection pane="topLeft" activeCell="I16" activeCellId="0" sqref="I16"/>
    </sheetView>
  </sheetViews>
  <sheetFormatPr defaultColWidth="11.58984375" defaultRowHeight="12.8" zeroHeight="false" outlineLevelRow="0" outlineLevelCol="0"/>
  <sheetData>
    <row r="1" customFormat="false" ht="12.8" hidden="false" customHeight="false" outlineLevel="0" collapsed="false">
      <c r="F1" s="0" t="s">
        <v>0</v>
      </c>
      <c r="G1" s="0" t="s">
        <v>5</v>
      </c>
      <c r="H1" s="0" t="s">
        <v>3</v>
      </c>
      <c r="I1" s="0" t="s">
        <v>6</v>
      </c>
    </row>
    <row r="2" customFormat="false" ht="12.8" hidden="false" customHeight="false" outlineLevel="0" collapsed="false">
      <c r="F2" s="1" t="n">
        <v>45567</v>
      </c>
      <c r="G2" s="3" t="n">
        <v>288.724541900814</v>
      </c>
      <c r="H2" s="0" t="n">
        <v>265.1</v>
      </c>
      <c r="I2" s="0" t="n">
        <v>272.5367</v>
      </c>
    </row>
    <row r="3" customFormat="false" ht="12.8" hidden="false" customHeight="false" outlineLevel="0" collapsed="false">
      <c r="F3" s="1" t="n">
        <v>45568</v>
      </c>
      <c r="G3" s="3" t="n">
        <v>288.871348958947</v>
      </c>
      <c r="H3" s="0" t="n">
        <v>266.3</v>
      </c>
      <c r="I3" s="0" t="n">
        <v>272.41602</v>
      </c>
    </row>
    <row r="4" customFormat="false" ht="12.8" hidden="false" customHeight="false" outlineLevel="0" collapsed="false">
      <c r="F4" s="1" t="n">
        <v>45569</v>
      </c>
      <c r="G4" s="3" t="n">
        <v>289.01815601708</v>
      </c>
      <c r="H4" s="0" t="n">
        <v>273.8</v>
      </c>
      <c r="I4" s="0" t="n">
        <v>273.76407</v>
      </c>
    </row>
    <row r="5" customFormat="false" ht="12.8" hidden="false" customHeight="false" outlineLevel="0" collapsed="false">
      <c r="F5" s="1" t="n">
        <v>45570</v>
      </c>
      <c r="G5" s="3" t="n">
        <v>289.164963075212</v>
      </c>
      <c r="H5" s="0" t="n">
        <v>273</v>
      </c>
      <c r="I5" s="0" t="n">
        <v>273.85736</v>
      </c>
    </row>
    <row r="6" customFormat="false" ht="12.8" hidden="false" customHeight="false" outlineLevel="0" collapsed="false">
      <c r="F6" s="1" t="n">
        <v>45571</v>
      </c>
      <c r="G6" s="3" t="n">
        <v>289.311770133345</v>
      </c>
      <c r="H6" s="0" t="n">
        <v>270.7</v>
      </c>
      <c r="I6" s="0" t="n">
        <v>272.81564</v>
      </c>
    </row>
    <row r="7" customFormat="false" ht="12.8" hidden="false" customHeight="false" outlineLevel="0" collapsed="false">
      <c r="F7" s="1" t="n">
        <v>45572</v>
      </c>
      <c r="G7" s="3" t="n">
        <v>289.458577191478</v>
      </c>
      <c r="H7" s="0" t="n">
        <v>271</v>
      </c>
      <c r="I7" s="0" t="n">
        <v>273.53232</v>
      </c>
    </row>
    <row r="8" customFormat="false" ht="12.8" hidden="false" customHeight="false" outlineLevel="0" collapsed="false">
      <c r="F8" s="1" t="n">
        <v>45573</v>
      </c>
      <c r="G8" s="3" t="n">
        <v>289.605384249611</v>
      </c>
      <c r="H8" s="0" t="n">
        <v>268.9</v>
      </c>
      <c r="I8" s="0" t="n">
        <v>273.4236</v>
      </c>
    </row>
    <row r="9" customFormat="false" ht="12.8" hidden="false" customHeight="false" outlineLevel="0" collapsed="false">
      <c r="F9" s="1" t="n">
        <v>45574</v>
      </c>
      <c r="G9" s="3" t="n">
        <v>289.752191307744</v>
      </c>
      <c r="H9" s="0" t="n">
        <v>267.7</v>
      </c>
      <c r="I9" s="0" t="n">
        <v>272.79697</v>
      </c>
    </row>
    <row r="10" customFormat="false" ht="12.8" hidden="false" customHeight="false" outlineLevel="0" collapsed="false">
      <c r="F10" s="1" t="n">
        <v>45575</v>
      </c>
      <c r="G10" s="3" t="n">
        <v>289.898998365877</v>
      </c>
      <c r="H10" s="0" t="n">
        <v>269.4</v>
      </c>
      <c r="I10" s="0" t="n">
        <v>272.3949</v>
      </c>
    </row>
    <row r="11" customFormat="false" ht="12.8" hidden="false" customHeight="false" outlineLevel="0" collapsed="false">
      <c r="F11" s="1" t="n">
        <v>45576</v>
      </c>
      <c r="G11" s="3" t="n">
        <v>290.04580542401</v>
      </c>
      <c r="H11" s="0" t="n">
        <v>267.1</v>
      </c>
      <c r="I11" s="0" t="n">
        <v>271.8976</v>
      </c>
    </row>
    <row r="12" customFormat="false" ht="12.8" hidden="false" customHeight="false" outlineLevel="0" collapsed="false">
      <c r="F12" s="1" t="n">
        <v>45577</v>
      </c>
      <c r="G12" s="3" t="n">
        <v>290.192612482143</v>
      </c>
      <c r="H12" s="0" t="n">
        <v>267.5</v>
      </c>
      <c r="I12" s="0" t="n">
        <v>271.0997</v>
      </c>
    </row>
    <row r="13" customFormat="false" ht="12.8" hidden="false" customHeight="false" outlineLevel="0" collapsed="false">
      <c r="F13" s="1" t="n">
        <v>45578</v>
      </c>
      <c r="G13" s="3" t="n">
        <v>290.339419540275</v>
      </c>
      <c r="H13" s="0" t="n">
        <v>265</v>
      </c>
      <c r="I13" s="0" t="n">
        <v>271.34805</v>
      </c>
    </row>
    <row r="14" customFormat="false" ht="12.8" hidden="false" customHeight="false" outlineLevel="0" collapsed="false">
      <c r="F14" s="1" t="n">
        <v>45579</v>
      </c>
      <c r="G14" s="3" t="n">
        <v>290.486226598408</v>
      </c>
      <c r="H14" s="0" t="n">
        <v>274.3</v>
      </c>
      <c r="I14" s="0" t="n">
        <v>270.3896</v>
      </c>
    </row>
    <row r="15" customFormat="false" ht="12.8" hidden="false" customHeight="false" outlineLevel="0" collapsed="false">
      <c r="F15" s="1" t="n">
        <v>45580</v>
      </c>
      <c r="G15" s="3" t="n">
        <v>290.633033656541</v>
      </c>
      <c r="H15" s="0" t="n">
        <v>272.1</v>
      </c>
      <c r="I15" s="0" t="n">
        <v>270.2494</v>
      </c>
    </row>
    <row r="16" customFormat="false" ht="12.8" hidden="false" customHeight="false" outlineLevel="0" collapsed="false">
      <c r="F16" s="0" t="s">
        <v>4</v>
      </c>
      <c r="G16" s="0" t="n">
        <v>20.47</v>
      </c>
      <c r="I16" s="0" t="n">
        <v>4.27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96"/>
  <sheetViews>
    <sheetView showFormulas="false" showGridLines="true" showRowColHeaders="true" showZeros="true" rightToLeft="false" tabSelected="true" showOutlineSymbols="true" defaultGridColor="true" view="normal" topLeftCell="A37" colorId="64" zoomScale="100" zoomScaleNormal="100" zoomScalePageLayoutView="100" workbookViewId="0">
      <selection pane="topLeft" activeCell="E51" activeCellId="0" sqref="E51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9.72"/>
    <col collapsed="false" customWidth="true" hidden="false" outlineLevel="0" max="2" min="2" style="0" width="9.2"/>
    <col collapsed="false" customWidth="true" hidden="false" outlineLevel="0" max="3" min="3" style="0" width="16.71"/>
    <col collapsed="false" customWidth="true" hidden="false" outlineLevel="0" max="4" min="4" style="0" width="6.43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1" t="n">
        <v>45587</v>
      </c>
      <c r="B2" s="0" t="n">
        <v>283.619</v>
      </c>
      <c r="C2" s="0" t="n">
        <v>290.289473870934</v>
      </c>
      <c r="D2" s="0" t="n">
        <v>264.2</v>
      </c>
    </row>
    <row r="3" customFormat="false" ht="12.8" hidden="false" customHeight="false" outlineLevel="0" collapsed="false">
      <c r="A3" s="1" t="n">
        <v>45588</v>
      </c>
      <c r="B3" s="0" t="n">
        <v>283.69336</v>
      </c>
      <c r="C3" s="0" t="n">
        <v>290.458779332797</v>
      </c>
      <c r="D3" s="0" t="n">
        <v>263.2</v>
      </c>
    </row>
    <row r="4" customFormat="false" ht="12.8" hidden="false" customHeight="false" outlineLevel="0" collapsed="false">
      <c r="A4" s="1" t="n">
        <v>45589</v>
      </c>
      <c r="B4" s="0" t="n">
        <v>281.1088</v>
      </c>
      <c r="C4" s="0" t="n">
        <v>290.628084794661</v>
      </c>
      <c r="D4" s="0" t="n">
        <v>264.5</v>
      </c>
    </row>
    <row r="5" customFormat="false" ht="12.8" hidden="false" customHeight="false" outlineLevel="0" collapsed="false">
      <c r="A5" s="1" t="n">
        <v>45590</v>
      </c>
      <c r="B5" s="0" t="n">
        <v>281.06482</v>
      </c>
      <c r="C5" s="0" t="n">
        <v>290.797390256525</v>
      </c>
      <c r="D5" s="0" t="n">
        <v>268</v>
      </c>
    </row>
    <row r="6" customFormat="false" ht="12.8" hidden="false" customHeight="false" outlineLevel="0" collapsed="false">
      <c r="A6" s="1" t="n">
        <v>45591</v>
      </c>
      <c r="B6" s="0" t="n">
        <v>283.9529</v>
      </c>
      <c r="C6" s="0" t="n">
        <v>290.966695718389</v>
      </c>
      <c r="D6" s="0" t="n">
        <v>268.5</v>
      </c>
    </row>
    <row r="7" customFormat="false" ht="12.8" hidden="false" customHeight="false" outlineLevel="0" collapsed="false">
      <c r="A7" s="1" t="n">
        <v>45592</v>
      </c>
      <c r="B7" s="0" t="n">
        <v>285.37546</v>
      </c>
      <c r="C7" s="0" t="n">
        <v>291.136001180253</v>
      </c>
      <c r="D7" s="0" t="n">
        <v>266.2</v>
      </c>
    </row>
    <row r="8" customFormat="false" ht="12.8" hidden="false" customHeight="false" outlineLevel="0" collapsed="false">
      <c r="A8" s="1" t="n">
        <v>45593</v>
      </c>
      <c r="B8" s="0" t="n">
        <v>284.0677</v>
      </c>
      <c r="C8" s="0" t="n">
        <v>291.305306642116</v>
      </c>
      <c r="D8" s="0" t="n">
        <v>266.7</v>
      </c>
    </row>
    <row r="9" customFormat="false" ht="12.8" hidden="false" customHeight="false" outlineLevel="0" collapsed="false">
      <c r="A9" s="1" t="n">
        <v>45594</v>
      </c>
      <c r="B9" s="0" t="n">
        <v>281.5492</v>
      </c>
      <c r="C9" s="0" t="n">
        <v>291.47461210398</v>
      </c>
      <c r="D9" s="0" t="n">
        <v>269.5</v>
      </c>
    </row>
    <row r="10" customFormat="false" ht="12.8" hidden="false" customHeight="false" outlineLevel="0" collapsed="false">
      <c r="A10" s="1" t="n">
        <v>45595</v>
      </c>
      <c r="B10" s="0" t="n">
        <v>278.74197</v>
      </c>
      <c r="C10" s="0" t="n">
        <v>291.643917565844</v>
      </c>
      <c r="D10" s="0" t="n">
        <v>272.6</v>
      </c>
    </row>
    <row r="11" customFormat="false" ht="12.8" hidden="false" customHeight="false" outlineLevel="0" collapsed="false">
      <c r="A11" s="1" t="n">
        <v>45596</v>
      </c>
      <c r="B11" s="0" t="n">
        <v>284.63794</v>
      </c>
      <c r="C11" s="0" t="n">
        <v>291.813223027708</v>
      </c>
      <c r="D11" s="0" t="n">
        <v>269.2</v>
      </c>
    </row>
    <row r="12" customFormat="false" ht="12.8" hidden="false" customHeight="false" outlineLevel="0" collapsed="false">
      <c r="A12" s="1" t="n">
        <v>45597</v>
      </c>
      <c r="B12" s="0" t="n">
        <v>283.69897</v>
      </c>
      <c r="C12" s="0" t="n">
        <v>291.982528489572</v>
      </c>
      <c r="D12" s="0" t="n">
        <v>265.9</v>
      </c>
    </row>
    <row r="13" customFormat="false" ht="12.8" hidden="false" customHeight="false" outlineLevel="0" collapsed="false">
      <c r="A13" s="1" t="n">
        <v>45598</v>
      </c>
      <c r="B13" s="0" t="n">
        <v>280.23785</v>
      </c>
      <c r="C13" s="0" t="n">
        <v>292.151833951435</v>
      </c>
      <c r="D13" s="0" t="n">
        <v>260.9</v>
      </c>
    </row>
    <row r="14" customFormat="false" ht="12.8" hidden="false" customHeight="false" outlineLevel="0" collapsed="false">
      <c r="A14" s="1" t="n">
        <v>45599</v>
      </c>
      <c r="B14" s="0" t="n">
        <v>282.20084</v>
      </c>
      <c r="C14" s="0" t="n">
        <v>292.321139413299</v>
      </c>
      <c r="D14" s="0" t="n">
        <v>257.4</v>
      </c>
    </row>
    <row r="15" customFormat="false" ht="12.8" hidden="false" customHeight="false" outlineLevel="0" collapsed="false">
      <c r="A15" s="1" t="n">
        <v>45600</v>
      </c>
      <c r="B15" s="0" t="n">
        <v>280.10156</v>
      </c>
      <c r="C15" s="0" t="n">
        <v>292.490444875163</v>
      </c>
      <c r="D15" s="0" t="n">
        <v>254.7</v>
      </c>
    </row>
    <row r="16" customFormat="false" ht="12.8" hidden="false" customHeight="false" outlineLevel="0" collapsed="false">
      <c r="A16" s="1" t="n">
        <v>45601</v>
      </c>
      <c r="B16" s="0" t="n">
        <v>280.32346</v>
      </c>
      <c r="C16" s="0" t="n">
        <v>292.659750337027</v>
      </c>
      <c r="D16" s="0" t="n">
        <v>254.9</v>
      </c>
    </row>
    <row r="17" customFormat="false" ht="12.8" hidden="false" customHeight="false" outlineLevel="0" collapsed="false">
      <c r="A17" s="1" t="n">
        <v>45602</v>
      </c>
      <c r="B17" s="0" t="n">
        <v>278.0888</v>
      </c>
      <c r="C17" s="0" t="n">
        <v>292.82905579889</v>
      </c>
      <c r="D17" s="0" t="n">
        <v>248.7</v>
      </c>
    </row>
    <row r="18" customFormat="false" ht="12.8" hidden="false" customHeight="false" outlineLevel="0" collapsed="false">
      <c r="A18" s="1" t="n">
        <v>45603</v>
      </c>
      <c r="B18" s="0" t="n">
        <v>279.3168</v>
      </c>
      <c r="C18" s="0" t="n">
        <v>292.998361260754</v>
      </c>
      <c r="D18" s="0" t="n">
        <v>249.9</v>
      </c>
    </row>
    <row r="19" customFormat="false" ht="12.8" hidden="false" customHeight="false" outlineLevel="0" collapsed="false">
      <c r="A19" s="1" t="n">
        <v>45604</v>
      </c>
      <c r="B19" s="0" t="n">
        <v>276.91635</v>
      </c>
      <c r="C19" s="0" t="n">
        <v>293.167666722618</v>
      </c>
      <c r="D19" s="0" t="n">
        <v>252</v>
      </c>
    </row>
    <row r="20" customFormat="false" ht="12.8" hidden="false" customHeight="false" outlineLevel="0" collapsed="false">
      <c r="A20" s="1" t="n">
        <v>45605</v>
      </c>
      <c r="B20" s="0" t="n">
        <v>278.86505</v>
      </c>
      <c r="C20" s="0" t="n">
        <v>293.336972184482</v>
      </c>
      <c r="D20" s="0" t="n">
        <v>254.8</v>
      </c>
    </row>
    <row r="21" customFormat="false" ht="12.8" hidden="false" customHeight="false" outlineLevel="0" collapsed="false">
      <c r="A21" s="1" t="n">
        <v>45606</v>
      </c>
      <c r="B21" s="0" t="n">
        <v>275.8687</v>
      </c>
      <c r="C21" s="0" t="n">
        <v>293.506277646346</v>
      </c>
      <c r="D21" s="0" t="n">
        <v>254.3</v>
      </c>
    </row>
    <row r="22" customFormat="false" ht="12.8" hidden="false" customHeight="false" outlineLevel="0" collapsed="false">
      <c r="A22" s="1" t="n">
        <v>45607</v>
      </c>
      <c r="B22" s="0" t="n">
        <v>276.49875</v>
      </c>
      <c r="C22" s="0" t="n">
        <v>293.675583108209</v>
      </c>
      <c r="D22" s="0" t="n">
        <v>260.6</v>
      </c>
    </row>
    <row r="23" customFormat="false" ht="12.8" hidden="false" customHeight="false" outlineLevel="0" collapsed="false">
      <c r="A23" s="1" t="n">
        <v>45608</v>
      </c>
      <c r="B23" s="0" t="n">
        <v>274.04974</v>
      </c>
      <c r="C23" s="0" t="n">
        <v>293.844888570073</v>
      </c>
      <c r="D23" s="0" t="n">
        <v>261.6</v>
      </c>
    </row>
    <row r="24" customFormat="false" ht="12.8" hidden="false" customHeight="false" outlineLevel="0" collapsed="false">
      <c r="A24" s="1" t="n">
        <v>45609</v>
      </c>
      <c r="B24" s="0" t="n">
        <v>269.8097</v>
      </c>
      <c r="C24" s="0" t="n">
        <v>294.014194031937</v>
      </c>
      <c r="D24" s="0" t="n">
        <v>264.8</v>
      </c>
    </row>
    <row r="25" customFormat="false" ht="12.8" hidden="false" customHeight="false" outlineLevel="0" collapsed="false">
      <c r="A25" s="1" t="n">
        <v>45610</v>
      </c>
      <c r="B25" s="0" t="n">
        <v>276.5748</v>
      </c>
      <c r="C25" s="0" t="n">
        <v>294.183499493801</v>
      </c>
      <c r="D25" s="0" t="n">
        <v>261.5</v>
      </c>
    </row>
    <row r="26" customFormat="false" ht="12.8" hidden="false" customHeight="false" outlineLevel="0" collapsed="false">
      <c r="A26" s="1" t="n">
        <v>45611</v>
      </c>
      <c r="B26" s="0" t="n">
        <v>268.98242</v>
      </c>
      <c r="C26" s="0" t="n">
        <v>294.352804955665</v>
      </c>
      <c r="D26" s="0" t="n">
        <v>262.3</v>
      </c>
    </row>
    <row r="27" customFormat="false" ht="12.8" hidden="false" customHeight="false" outlineLevel="0" collapsed="false">
      <c r="A27" s="1" t="n">
        <v>45612</v>
      </c>
      <c r="B27" s="0" t="n">
        <v>276.06375</v>
      </c>
      <c r="C27" s="0" t="n">
        <v>294.522110417528</v>
      </c>
      <c r="D27" s="0" t="n">
        <v>266</v>
      </c>
    </row>
    <row r="28" customFormat="false" ht="12.8" hidden="false" customHeight="false" outlineLevel="0" collapsed="false">
      <c r="A28" s="1" t="n">
        <v>45613</v>
      </c>
      <c r="B28" s="0" t="n">
        <v>271.41586</v>
      </c>
      <c r="C28" s="0" t="n">
        <v>294.691415879392</v>
      </c>
      <c r="D28" s="0" t="n">
        <v>266.7</v>
      </c>
    </row>
    <row r="29" customFormat="false" ht="12.8" hidden="false" customHeight="false" outlineLevel="0" collapsed="false">
      <c r="A29" s="1" t="n">
        <v>45614</v>
      </c>
      <c r="B29" s="0" t="n">
        <v>269.90054</v>
      </c>
      <c r="C29" s="0" t="n">
        <v>294.860721341256</v>
      </c>
      <c r="D29" s="0" t="n">
        <v>272.9</v>
      </c>
    </row>
    <row r="30" customFormat="false" ht="12.8" hidden="false" customHeight="false" outlineLevel="0" collapsed="false">
      <c r="A30" s="1" t="n">
        <v>45615</v>
      </c>
      <c r="B30" s="0" t="n">
        <v>271.53406</v>
      </c>
      <c r="C30" s="0" t="n">
        <v>295.03002680312</v>
      </c>
      <c r="D30" s="0" t="n">
        <v>272.5</v>
      </c>
    </row>
    <row r="31" customFormat="false" ht="12.8" hidden="false" customHeight="false" outlineLevel="0" collapsed="false">
      <c r="A31" s="1" t="n">
        <v>45616</v>
      </c>
      <c r="B31" s="0" t="n">
        <v>272.2357</v>
      </c>
      <c r="C31" s="0" t="n">
        <v>295.199332264984</v>
      </c>
      <c r="D31" s="0" t="n">
        <v>268.2</v>
      </c>
    </row>
    <row r="32" customFormat="false" ht="12.8" hidden="false" customHeight="false" outlineLevel="0" collapsed="false">
      <c r="A32" s="1" t="n">
        <v>45617</v>
      </c>
      <c r="B32" s="0" t="n">
        <v>273.5201</v>
      </c>
      <c r="C32" s="0" t="n">
        <v>295.368637726847</v>
      </c>
      <c r="D32" s="0" t="n">
        <v>265.9</v>
      </c>
    </row>
    <row r="33" customFormat="false" ht="12.8" hidden="false" customHeight="false" outlineLevel="0" collapsed="false">
      <c r="A33" s="1" t="n">
        <v>45618</v>
      </c>
      <c r="B33" s="0" t="n">
        <v>267.41547</v>
      </c>
      <c r="C33" s="0" t="n">
        <v>295.537943188711</v>
      </c>
      <c r="D33" s="0" t="n">
        <v>265.1</v>
      </c>
    </row>
    <row r="34" customFormat="false" ht="12.8" hidden="false" customHeight="false" outlineLevel="0" collapsed="false">
      <c r="A34" s="1" t="n">
        <v>45619</v>
      </c>
      <c r="B34" s="0" t="n">
        <v>267.6825</v>
      </c>
      <c r="C34" s="0" t="n">
        <v>295.707248650575</v>
      </c>
      <c r="D34" s="0" t="n">
        <v>266.3</v>
      </c>
    </row>
    <row r="35" customFormat="false" ht="12.8" hidden="false" customHeight="false" outlineLevel="0" collapsed="false">
      <c r="A35" s="1" t="n">
        <v>45620</v>
      </c>
      <c r="B35" s="0" t="n">
        <v>270.6772</v>
      </c>
      <c r="C35" s="0" t="n">
        <v>295.876554112439</v>
      </c>
      <c r="D35" s="0" t="n">
        <v>273.8</v>
      </c>
    </row>
    <row r="36" customFormat="false" ht="12.8" hidden="false" customHeight="false" outlineLevel="0" collapsed="false">
      <c r="A36" s="1" t="n">
        <v>45621</v>
      </c>
      <c r="B36" s="0" t="n">
        <v>262.52155</v>
      </c>
      <c r="C36" s="0" t="n">
        <v>296.045859574303</v>
      </c>
      <c r="D36" s="0" t="n">
        <v>273</v>
      </c>
    </row>
    <row r="37" customFormat="false" ht="12.8" hidden="false" customHeight="false" outlineLevel="0" collapsed="false">
      <c r="A37" s="1" t="n">
        <v>45622</v>
      </c>
      <c r="B37" s="0" t="n">
        <v>264.81857</v>
      </c>
      <c r="C37" s="0" t="n">
        <v>296.215165036166</v>
      </c>
      <c r="D37" s="0" t="n">
        <v>270.7</v>
      </c>
    </row>
    <row r="38" customFormat="false" ht="12.8" hidden="false" customHeight="false" outlineLevel="0" collapsed="false">
      <c r="A38" s="1" t="n">
        <v>45623</v>
      </c>
      <c r="B38" s="0" t="n">
        <v>265.39392</v>
      </c>
      <c r="C38" s="0" t="n">
        <v>296.38447049803</v>
      </c>
      <c r="D38" s="0" t="n">
        <v>271</v>
      </c>
    </row>
    <row r="39" customFormat="false" ht="12.8" hidden="false" customHeight="false" outlineLevel="0" collapsed="false">
      <c r="A39" s="1" t="n">
        <v>45624</v>
      </c>
      <c r="B39" s="0" t="n">
        <v>267.50095</v>
      </c>
      <c r="C39" s="0" t="n">
        <v>296.553775959894</v>
      </c>
      <c r="D39" s="0" t="n">
        <v>268.9</v>
      </c>
    </row>
    <row r="40" customFormat="false" ht="12.8" hidden="false" customHeight="false" outlineLevel="0" collapsed="false">
      <c r="A40" s="1" t="n">
        <v>45625</v>
      </c>
      <c r="B40" s="0" t="n">
        <v>264.30148</v>
      </c>
      <c r="C40" s="0" t="n">
        <v>296.723081421758</v>
      </c>
      <c r="D40" s="0" t="n">
        <v>267.7</v>
      </c>
    </row>
    <row r="41" customFormat="false" ht="12.8" hidden="false" customHeight="false" outlineLevel="0" collapsed="false">
      <c r="A41" s="1" t="n">
        <v>45626</v>
      </c>
      <c r="B41" s="0" t="n">
        <v>263.97446</v>
      </c>
      <c r="C41" s="0" t="n">
        <v>296.892386883622</v>
      </c>
      <c r="D41" s="0" t="n">
        <v>269.4</v>
      </c>
    </row>
    <row r="42" customFormat="false" ht="12.8" hidden="false" customHeight="false" outlineLevel="0" collapsed="false">
      <c r="A42" s="1" t="n">
        <v>45627</v>
      </c>
      <c r="B42" s="0" t="n">
        <v>263.5819</v>
      </c>
      <c r="C42" s="0" t="n">
        <v>297.061692345485</v>
      </c>
      <c r="D42" s="0" t="n">
        <v>267.1</v>
      </c>
    </row>
    <row r="43" customFormat="false" ht="12.8" hidden="false" customHeight="false" outlineLevel="0" collapsed="false">
      <c r="A43" s="1" t="n">
        <v>45628</v>
      </c>
      <c r="B43" s="0" t="n">
        <v>262.79843</v>
      </c>
      <c r="C43" s="0" t="n">
        <v>297.230997807349</v>
      </c>
      <c r="D43" s="0" t="n">
        <v>267.5</v>
      </c>
    </row>
    <row r="44" customFormat="false" ht="12.8" hidden="false" customHeight="false" outlineLevel="0" collapsed="false">
      <c r="A44" s="1" t="n">
        <v>45629</v>
      </c>
      <c r="B44" s="0" t="n">
        <v>262.91025</v>
      </c>
      <c r="C44" s="0" t="n">
        <v>297.400303269213</v>
      </c>
      <c r="D44" s="0" t="n">
        <v>265</v>
      </c>
    </row>
    <row r="45" customFormat="false" ht="12.8" hidden="false" customHeight="false" outlineLevel="0" collapsed="false">
      <c r="A45" s="1" t="n">
        <v>45630</v>
      </c>
      <c r="B45" s="0" t="n">
        <v>258.8689</v>
      </c>
      <c r="C45" s="0" t="n">
        <v>297.569608731077</v>
      </c>
      <c r="D45" s="0" t="n">
        <v>274.3</v>
      </c>
    </row>
    <row r="46" customFormat="false" ht="12.8" hidden="false" customHeight="false" outlineLevel="0" collapsed="false">
      <c r="A46" s="1" t="n">
        <v>45631</v>
      </c>
      <c r="B46" s="0" t="n">
        <v>259.2037</v>
      </c>
      <c r="C46" s="0" t="n">
        <v>297.738914192941</v>
      </c>
      <c r="D46" s="0" t="n">
        <v>272.1</v>
      </c>
    </row>
    <row r="48" customFormat="false" ht="12.8" hidden="false" customHeight="false" outlineLevel="0" collapsed="false">
      <c r="A48" s="0" t="s">
        <v>4</v>
      </c>
      <c r="B48" s="0" t="n">
        <v>15</v>
      </c>
      <c r="C48" s="0" t="n">
        <v>29.9</v>
      </c>
    </row>
    <row r="50" customFormat="false" ht="12.8" hidden="false" customHeight="false" outlineLevel="0" collapsed="false">
      <c r="B50" s="0" t="n">
        <f aca="false">B2-D2</f>
        <v>19.419</v>
      </c>
    </row>
    <row r="51" customFormat="false" ht="12.8" hidden="false" customHeight="false" outlineLevel="0" collapsed="false">
      <c r="B51" s="0" t="n">
        <f aca="false">B3-D3</f>
        <v>20.49336</v>
      </c>
    </row>
    <row r="52" customFormat="false" ht="12.8" hidden="false" customHeight="false" outlineLevel="0" collapsed="false">
      <c r="B52" s="0" t="n">
        <f aca="false">B4-D4</f>
        <v>16.6088</v>
      </c>
    </row>
    <row r="53" customFormat="false" ht="12.8" hidden="false" customHeight="false" outlineLevel="0" collapsed="false">
      <c r="B53" s="0" t="n">
        <f aca="false">B5-D5</f>
        <v>13.06482</v>
      </c>
    </row>
    <row r="54" customFormat="false" ht="12.8" hidden="false" customHeight="false" outlineLevel="0" collapsed="false">
      <c r="B54" s="0" t="n">
        <f aca="false">B6-D6</f>
        <v>15.4529</v>
      </c>
    </row>
    <row r="55" customFormat="false" ht="12.8" hidden="false" customHeight="false" outlineLevel="0" collapsed="false">
      <c r="B55" s="0" t="n">
        <f aca="false">B7-D7</f>
        <v>19.17546</v>
      </c>
    </row>
    <row r="56" customFormat="false" ht="12.8" hidden="false" customHeight="false" outlineLevel="0" collapsed="false">
      <c r="B56" s="0" t="n">
        <f aca="false">B8-D8</f>
        <v>17.3677</v>
      </c>
    </row>
    <row r="57" customFormat="false" ht="12.8" hidden="false" customHeight="false" outlineLevel="0" collapsed="false">
      <c r="B57" s="0" t="n">
        <f aca="false">B9-D9</f>
        <v>12.0492</v>
      </c>
    </row>
    <row r="58" customFormat="false" ht="12.8" hidden="false" customHeight="false" outlineLevel="0" collapsed="false">
      <c r="B58" s="0" t="n">
        <f aca="false">B10-D10</f>
        <v>6.14196999999996</v>
      </c>
    </row>
    <row r="59" customFormat="false" ht="12.8" hidden="false" customHeight="false" outlineLevel="0" collapsed="false">
      <c r="B59" s="0" t="n">
        <f aca="false">B11-D11</f>
        <v>15.43794</v>
      </c>
    </row>
    <row r="60" customFormat="false" ht="12.8" hidden="false" customHeight="false" outlineLevel="0" collapsed="false">
      <c r="B60" s="0" t="n">
        <f aca="false">B12-D12</f>
        <v>17.79897</v>
      </c>
    </row>
    <row r="61" customFormat="false" ht="12.8" hidden="false" customHeight="false" outlineLevel="0" collapsed="false">
      <c r="B61" s="0" t="n">
        <f aca="false">B13-D13</f>
        <v>19.33785</v>
      </c>
    </row>
    <row r="62" customFormat="false" ht="12.8" hidden="false" customHeight="false" outlineLevel="0" collapsed="false">
      <c r="B62" s="0" t="n">
        <f aca="false">B14-D14</f>
        <v>24.80084</v>
      </c>
    </row>
    <row r="63" customFormat="false" ht="12.8" hidden="false" customHeight="false" outlineLevel="0" collapsed="false">
      <c r="B63" s="0" t="n">
        <f aca="false">B15-D15</f>
        <v>25.40156</v>
      </c>
    </row>
    <row r="64" customFormat="false" ht="12.8" hidden="false" customHeight="false" outlineLevel="0" collapsed="false">
      <c r="B64" s="0" t="n">
        <f aca="false">B16-D16</f>
        <v>25.42346</v>
      </c>
    </row>
    <row r="65" customFormat="false" ht="12.8" hidden="false" customHeight="false" outlineLevel="0" collapsed="false">
      <c r="B65" s="0" t="n">
        <f aca="false">B17-D17</f>
        <v>29.3888</v>
      </c>
    </row>
    <row r="66" customFormat="false" ht="12.8" hidden="false" customHeight="false" outlineLevel="0" collapsed="false">
      <c r="B66" s="0" t="n">
        <f aca="false">B18-D18</f>
        <v>29.4168</v>
      </c>
    </row>
    <row r="67" customFormat="false" ht="12.8" hidden="false" customHeight="false" outlineLevel="0" collapsed="false">
      <c r="B67" s="0" t="n">
        <f aca="false">B19-D19</f>
        <v>24.91635</v>
      </c>
    </row>
    <row r="68" customFormat="false" ht="12.8" hidden="false" customHeight="false" outlineLevel="0" collapsed="false">
      <c r="B68" s="0" t="n">
        <f aca="false">B20-D20</f>
        <v>24.06505</v>
      </c>
    </row>
    <row r="69" customFormat="false" ht="12.8" hidden="false" customHeight="false" outlineLevel="0" collapsed="false">
      <c r="B69" s="0" t="n">
        <f aca="false">B21-D21</f>
        <v>21.5687</v>
      </c>
    </row>
    <row r="70" customFormat="false" ht="12.8" hidden="false" customHeight="false" outlineLevel="0" collapsed="false">
      <c r="B70" s="0" t="n">
        <f aca="false">B22-D22</f>
        <v>15.89875</v>
      </c>
    </row>
    <row r="71" customFormat="false" ht="12.8" hidden="false" customHeight="false" outlineLevel="0" collapsed="false">
      <c r="B71" s="0" t="n">
        <f aca="false">B23-D23</f>
        <v>12.44974</v>
      </c>
    </row>
    <row r="72" customFormat="false" ht="12.8" hidden="false" customHeight="false" outlineLevel="0" collapsed="false">
      <c r="B72" s="0" t="n">
        <f aca="false">B24-D24</f>
        <v>5.00970000000001</v>
      </c>
    </row>
    <row r="73" customFormat="false" ht="12.8" hidden="false" customHeight="false" outlineLevel="0" collapsed="false">
      <c r="B73" s="0" t="n">
        <f aca="false">B25-D25</f>
        <v>15.0748</v>
      </c>
    </row>
    <row r="74" customFormat="false" ht="12.8" hidden="false" customHeight="false" outlineLevel="0" collapsed="false">
      <c r="B74" s="0" t="n">
        <f aca="false">B26-D26</f>
        <v>6.68241999999998</v>
      </c>
    </row>
    <row r="75" customFormat="false" ht="12.8" hidden="false" customHeight="false" outlineLevel="0" collapsed="false">
      <c r="B75" s="0" t="n">
        <f aca="false">B27-D27</f>
        <v>10.06375</v>
      </c>
    </row>
    <row r="76" customFormat="false" ht="12.8" hidden="false" customHeight="false" outlineLevel="0" collapsed="false">
      <c r="B76" s="0" t="n">
        <f aca="false">B28-D28</f>
        <v>4.71586000000002</v>
      </c>
    </row>
    <row r="77" customFormat="false" ht="12.8" hidden="false" customHeight="false" outlineLevel="0" collapsed="false">
      <c r="B77" s="0" t="n">
        <f aca="false">B29-D29</f>
        <v>-2.99946</v>
      </c>
    </row>
    <row r="78" customFormat="false" ht="12.8" hidden="false" customHeight="false" outlineLevel="0" collapsed="false">
      <c r="B78" s="0" t="n">
        <f aca="false">B30-D30</f>
        <v>-0.965939999999989</v>
      </c>
    </row>
    <row r="79" customFormat="false" ht="12.8" hidden="false" customHeight="false" outlineLevel="0" collapsed="false">
      <c r="B79" s="0" t="n">
        <f aca="false">B31-D31</f>
        <v>4.03570000000002</v>
      </c>
    </row>
    <row r="80" customFormat="false" ht="12.8" hidden="false" customHeight="false" outlineLevel="0" collapsed="false">
      <c r="B80" s="0" t="n">
        <f aca="false">B32-D32</f>
        <v>7.62010000000004</v>
      </c>
    </row>
    <row r="81" customFormat="false" ht="12.8" hidden="false" customHeight="false" outlineLevel="0" collapsed="false">
      <c r="B81" s="0" t="n">
        <f aca="false">B33-D33</f>
        <v>2.31547</v>
      </c>
    </row>
    <row r="82" customFormat="false" ht="12.8" hidden="false" customHeight="false" outlineLevel="0" collapsed="false">
      <c r="B82" s="0" t="n">
        <f aca="false">B34-D34</f>
        <v>1.38249999999999</v>
      </c>
    </row>
    <row r="83" customFormat="false" ht="12.8" hidden="false" customHeight="false" outlineLevel="0" collapsed="false">
      <c r="B83" s="0" t="n">
        <f aca="false">B35-D35</f>
        <v>-3.12279999999998</v>
      </c>
    </row>
    <row r="84" customFormat="false" ht="12.8" hidden="false" customHeight="false" outlineLevel="0" collapsed="false">
      <c r="B84" s="0" t="n">
        <f aca="false">B36-D36</f>
        <v>-10.47845</v>
      </c>
    </row>
    <row r="85" customFormat="false" ht="12.8" hidden="false" customHeight="false" outlineLevel="0" collapsed="false">
      <c r="B85" s="0" t="n">
        <f aca="false">B37-D37</f>
        <v>-5.88142999999997</v>
      </c>
    </row>
    <row r="86" customFormat="false" ht="12.8" hidden="false" customHeight="false" outlineLevel="0" collapsed="false">
      <c r="B86" s="0" t="n">
        <f aca="false">B38-D38</f>
        <v>-5.60608000000002</v>
      </c>
    </row>
    <row r="87" customFormat="false" ht="12.8" hidden="false" customHeight="false" outlineLevel="0" collapsed="false">
      <c r="B87" s="0" t="n">
        <f aca="false">B39-D39</f>
        <v>-1.39904999999999</v>
      </c>
    </row>
    <row r="88" customFormat="false" ht="12.8" hidden="false" customHeight="false" outlineLevel="0" collapsed="false">
      <c r="B88" s="0" t="n">
        <f aca="false">B40-D40</f>
        <v>-3.39851999999996</v>
      </c>
    </row>
    <row r="89" customFormat="false" ht="12.8" hidden="false" customHeight="false" outlineLevel="0" collapsed="false">
      <c r="B89" s="0" t="n">
        <f aca="false">B41-D41</f>
        <v>-5.42553999999996</v>
      </c>
    </row>
    <row r="90" customFormat="false" ht="12.8" hidden="false" customHeight="false" outlineLevel="0" collapsed="false">
      <c r="B90" s="0" t="n">
        <f aca="false">B42-D42</f>
        <v>-3.5181</v>
      </c>
    </row>
    <row r="91" customFormat="false" ht="12.8" hidden="false" customHeight="false" outlineLevel="0" collapsed="false">
      <c r="B91" s="0" t="n">
        <f aca="false">B43-D43</f>
        <v>-4.70157</v>
      </c>
    </row>
    <row r="92" customFormat="false" ht="12.8" hidden="false" customHeight="false" outlineLevel="0" collapsed="false">
      <c r="B92" s="0" t="n">
        <f aca="false">B44-D44</f>
        <v>-2.08974999999998</v>
      </c>
    </row>
    <row r="93" customFormat="false" ht="12.8" hidden="false" customHeight="false" outlineLevel="0" collapsed="false">
      <c r="B93" s="0" t="n">
        <f aca="false">B45-D45</f>
        <v>-15.4311</v>
      </c>
    </row>
    <row r="94" customFormat="false" ht="12.8" hidden="false" customHeight="false" outlineLevel="0" collapsed="false">
      <c r="B94" s="0" t="n">
        <f aca="false">B46-D46</f>
        <v>-12.8963</v>
      </c>
    </row>
    <row r="96" customFormat="false" ht="12.8" hidden="false" customHeight="false" outlineLevel="0" collapsed="false">
      <c r="B96" s="0" t="n">
        <f aca="false">SQRT(SUMSQ(B50:B94)/COUNTA(B50:B94))</f>
        <v>15.023135290735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2024-11-04T14:06:49Z</dcterms:created>
  <dc:creator/>
  <dc:description/>
  <dc:language>en-US</dc:language>
  <cp:lastModifiedBy/>
  <dcterms:modified xsi:type="dcterms:W3CDTF">2024-11-16T12:19:59Z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